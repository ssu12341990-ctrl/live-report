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原始数据录入" sheetId="1" state="visible" r:id="rId1"/>
    <sheet name="汇总统计表" sheetId="2" state="visible" r:id="rId2"/>
    <sheet name="识别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7B3F00"/>
      <sz val="10"/>
    </font>
    <font>
      <b val="1"/>
      <color rgb="00FFFFFF"/>
      <sz val="11"/>
    </font>
    <font>
      <color rgb="001F2D3D"/>
      <sz val="10"/>
    </font>
    <font>
      <color rgb="00375623"/>
      <sz val="10"/>
    </font>
    <font>
      <b val="1"/>
      <color rgb="007B3F00"/>
      <sz val="9"/>
    </font>
    <font>
      <b val="1"/>
      <color rgb="001A5276"/>
      <sz val="9"/>
    </font>
    <font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2CC"/>
      </patternFill>
    </fill>
    <fill>
      <patternFill patternType="solid">
        <fgColor rgb="002F4F8F"/>
      </patternFill>
    </fill>
    <fill>
      <patternFill patternType="solid">
        <fgColor rgb="00FFFDE7"/>
      </patternFill>
    </fill>
    <fill>
      <patternFill patternType="solid">
        <fgColor rgb="00E2EFDA"/>
      </patternFill>
    </fill>
    <fill>
      <patternFill patternType="solid">
        <fgColor rgb="00E67E22"/>
      </patternFill>
    </fill>
    <fill>
      <patternFill patternType="solid">
        <fgColor rgb="002471A3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ADQ 投放数据录入表</t>
        </is>
      </c>
    </row>
    <row r="2" ht="20" customHeight="1">
      <c r="A2" s="2" t="inlineStr">
        <is>
          <t>说明：已根据截图自动填入左右两组投流数据，绿色单元格为自动计算结果</t>
        </is>
      </c>
    </row>
    <row r="3" ht="22" customHeight="1">
      <c r="A3" s="3" t="inlineStr">
        <is>
          <t>基本信息</t>
        </is>
      </c>
    </row>
    <row r="4">
      <c r="A4" s="4" t="inlineStr">
        <is>
          <t>日期</t>
        </is>
      </c>
      <c r="B4" s="4" t="inlineStr">
        <is>
          <t>主播</t>
        </is>
      </c>
      <c r="C4" s="4" t="inlineStr">
        <is>
          <t>开播时间</t>
        </is>
      </c>
      <c r="D4" s="4" t="inlineStr">
        <is>
          <t>结束时间</t>
        </is>
      </c>
      <c r="E4" s="4" t="inlineStr">
        <is>
          <t>直播时长(h)</t>
        </is>
      </c>
    </row>
    <row r="5">
      <c r="A5" s="5" t="inlineStr">
        <is>
          <t>2026/5/21</t>
        </is>
      </c>
      <c r="B5" s="5" t="inlineStr">
        <is>
          <t>王雨琪</t>
        </is>
      </c>
      <c r="C5" s="6" t="inlineStr">
        <is>
          <t>08:01</t>
        </is>
      </c>
      <c r="D5" s="6" t="inlineStr">
        <is>
          <t>10:30</t>
        </is>
      </c>
      <c r="E5" s="7">
        <f>2.5</f>
        <v/>
      </c>
    </row>
    <row r="7">
      <c r="A7" s="8" t="inlineStr">
        <is>
          <t>投放组 1（左侧截图）</t>
        </is>
      </c>
      <c r="I7" s="9" t="inlineStr">
        <is>
          <t>投放组 2（右侧截图）</t>
        </is>
      </c>
    </row>
    <row r="8">
      <c r="A8" s="10" t="inlineStr">
        <is>
          <t>观看人数</t>
        </is>
      </c>
      <c r="B8" s="10" t="inlineStr">
        <is>
          <t>花费(元)</t>
        </is>
      </c>
      <c r="C8" s="10" t="inlineStr">
        <is>
          <t>成交量</t>
        </is>
      </c>
      <c r="D8" s="10" t="inlineStr">
        <is>
          <t>转化目标成本(元)</t>
        </is>
      </c>
      <c r="E8" s="10" t="inlineStr">
        <is>
          <t>商品点击</t>
        </is>
      </c>
      <c r="F8" s="10" t="inlineStr">
        <is>
          <t>提交订单</t>
        </is>
      </c>
      <c r="G8" s="10" t="inlineStr">
        <is>
          <t>支付成功</t>
        </is>
      </c>
      <c r="H8" s="10" t="inlineStr">
        <is>
          <t>互动人数</t>
        </is>
      </c>
      <c r="I8" s="11" t="inlineStr">
        <is>
          <t>观看人数</t>
        </is>
      </c>
      <c r="J8" s="11" t="inlineStr">
        <is>
          <t>花费(元)</t>
        </is>
      </c>
      <c r="K8" s="11" t="inlineStr">
        <is>
          <t>成交量</t>
        </is>
      </c>
      <c r="L8" s="11" t="inlineStr">
        <is>
          <t>转化目标成本(元)</t>
        </is>
      </c>
      <c r="M8" s="11" t="inlineStr">
        <is>
          <t>商品点击</t>
        </is>
      </c>
      <c r="N8" s="11" t="inlineStr">
        <is>
          <t>提交订单</t>
        </is>
      </c>
      <c r="O8" s="11" t="inlineStr">
        <is>
          <t>支付成功</t>
        </is>
      </c>
      <c r="P8" s="11" t="inlineStr">
        <is>
          <t>互动人数</t>
        </is>
      </c>
    </row>
    <row r="9">
      <c r="A9" s="5" t="n">
        <v>91</v>
      </c>
      <c r="B9" s="5" t="n">
        <v>1732.02</v>
      </c>
      <c r="C9" s="5" t="n">
        <v>6</v>
      </c>
      <c r="D9" s="5" t="n">
        <v>288.67</v>
      </c>
      <c r="E9" s="5" t="n">
        <v>24</v>
      </c>
      <c r="F9" s="5" t="n">
        <v>8</v>
      </c>
      <c r="G9" s="5" t="n">
        <v>6</v>
      </c>
      <c r="H9" s="5" t="n">
        <v>8</v>
      </c>
      <c r="I9" s="5" t="n">
        <v>361</v>
      </c>
      <c r="J9" s="5" t="n">
        <v>8459.93</v>
      </c>
      <c r="K9" s="5" t="n">
        <v>36</v>
      </c>
      <c r="L9" s="5" t="n">
        <v>235</v>
      </c>
      <c r="M9" s="5" t="n">
        <v>106</v>
      </c>
      <c r="N9" s="5" t="n">
        <v>43</v>
      </c>
      <c r="O9" s="5" t="n">
        <v>35</v>
      </c>
      <c r="P9" s="5" t="n">
        <v>28</v>
      </c>
    </row>
    <row r="10">
      <c r="A10" s="12" t="inlineStr">
        <is>
          <t>互动人数按截图中的评论人数填写；本文件已按本次截图自动填入。</t>
        </is>
      </c>
    </row>
  </sheetData>
  <mergeCells count="6">
    <mergeCell ref="A10:P10"/>
    <mergeCell ref="A7:H7"/>
    <mergeCell ref="A1:P1"/>
    <mergeCell ref="I7:P7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直播 ADQ 投放汇总统计表（已填数据版）</t>
        </is>
      </c>
    </row>
    <row r="3">
      <c r="A3" s="4" t="inlineStr">
        <is>
          <t>日期</t>
        </is>
      </c>
      <c r="B3" s="4" t="inlineStr">
        <is>
          <t>主播</t>
        </is>
      </c>
      <c r="C3" s="4" t="inlineStr">
        <is>
          <t>时间</t>
        </is>
      </c>
      <c r="D3" s="4" t="inlineStr">
        <is>
          <t>直播时长(h)</t>
        </is>
      </c>
      <c r="E3" s="4" t="inlineStr">
        <is>
          <t>消耗(元)</t>
        </is>
      </c>
      <c r="F3" s="4" t="inlineStr">
        <is>
          <t>成交量</t>
        </is>
      </c>
      <c r="G3" s="4" t="inlineStr">
        <is>
          <t>成本(元/单)</t>
        </is>
      </c>
      <c r="H3" s="4" t="inlineStr">
        <is>
          <t>场观(人)</t>
        </is>
      </c>
      <c r="I3" s="4" t="inlineStr">
        <is>
          <t>观看成本(元)</t>
        </is>
      </c>
      <c r="J3" s="4" t="inlineStr">
        <is>
          <t>商品点击</t>
        </is>
      </c>
      <c r="K3" s="4" t="inlineStr">
        <is>
          <t>商品点击率</t>
        </is>
      </c>
      <c r="L3" s="4" t="inlineStr">
        <is>
          <t>提交订单</t>
        </is>
      </c>
      <c r="M3" s="4" t="inlineStr">
        <is>
          <t>支付成功</t>
        </is>
      </c>
      <c r="N3" s="4" t="inlineStr">
        <is>
          <t>未支付</t>
        </is>
      </c>
      <c r="O3" s="4" t="inlineStr">
        <is>
          <t>互动人数</t>
        </is>
      </c>
      <c r="P3" s="4" t="inlineStr">
        <is>
          <t>转化率</t>
        </is>
      </c>
      <c r="Q3" s="4" t="inlineStr">
        <is>
          <t>互动转化率</t>
        </is>
      </c>
    </row>
    <row r="4">
      <c r="A4" s="5">
        <f>'ADQ原始数据录入'!A5</f>
        <v/>
      </c>
      <c r="B4" s="5">
        <f>'ADQ原始数据录入'!B5</f>
        <v/>
      </c>
      <c r="C4" s="5">
        <f>'ADQ原始数据录入'!C5&amp;"-"&amp;'ADQ原始数据录入'!D5</f>
        <v/>
      </c>
      <c r="D4" s="13">
        <f>'ADQ原始数据录入'!E5</f>
        <v/>
      </c>
      <c r="E4" s="14">
        <f>'ADQ原始数据录入'!B9+'ADQ原始数据录入'!J9</f>
        <v/>
      </c>
      <c r="F4" s="15">
        <f>'ADQ原始数据录入'!C9+'ADQ原始数据录入'!K9</f>
        <v/>
      </c>
      <c r="G4" s="14">
        <f>IFERROR(E4/F4,"")</f>
        <v/>
      </c>
      <c r="H4" s="15">
        <f>'ADQ原始数据录入'!A9+'ADQ原始数据录入'!I9</f>
        <v/>
      </c>
      <c r="I4" s="14">
        <f>IFERROR(E4/H4,"")</f>
        <v/>
      </c>
      <c r="J4" s="15">
        <f>'ADQ原始数据录入'!E9+'ADQ原始数据录入'!M9</f>
        <v/>
      </c>
      <c r="K4" s="16">
        <f>IFERROR(J4/H4,"")</f>
        <v/>
      </c>
      <c r="L4" s="15">
        <f>'ADQ原始数据录入'!F9+'ADQ原始数据录入'!N9</f>
        <v/>
      </c>
      <c r="M4" s="15">
        <f>'ADQ原始数据录入'!G9+'ADQ原始数据录入'!O9</f>
        <v/>
      </c>
      <c r="N4" s="17">
        <f>IFERROR(L4-M4,"")</f>
        <v/>
      </c>
      <c r="O4" s="15">
        <f>'ADQ原始数据录入'!H9+'ADQ原始数据录入'!P9</f>
        <v/>
      </c>
      <c r="P4" s="16">
        <f>IFERROR(F4/H4,"")</f>
        <v/>
      </c>
      <c r="Q4" s="16">
        <f>IFERROR(F4/O4,"")</f>
        <v/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本次截图识别结果</t>
        </is>
      </c>
    </row>
    <row r="2">
      <c r="A2" s="4" t="inlineStr">
        <is>
          <t>组别</t>
        </is>
      </c>
      <c r="B2" s="4" t="inlineStr">
        <is>
          <t>观看人数</t>
        </is>
      </c>
      <c r="C2" s="4" t="inlineStr">
        <is>
          <t>花费</t>
        </is>
      </c>
      <c r="D2" s="4" t="inlineStr">
        <is>
          <t>成交量</t>
        </is>
      </c>
      <c r="E2" s="4" t="inlineStr">
        <is>
          <t>目标成本</t>
        </is>
      </c>
      <c r="F2" s="4" t="inlineStr">
        <is>
          <t>商品点击</t>
        </is>
      </c>
      <c r="G2" s="4" t="inlineStr">
        <is>
          <t>提交订单</t>
        </is>
      </c>
      <c r="H2" s="4" t="inlineStr">
        <is>
          <t>支付成功/互动人数</t>
        </is>
      </c>
    </row>
    <row r="3">
      <c r="A3" s="5" t="inlineStr">
        <is>
          <t>左侧</t>
        </is>
      </c>
      <c r="B3" s="5" t="n">
        <v>91</v>
      </c>
      <c r="C3" s="5" t="n">
        <v>1732.02</v>
      </c>
      <c r="D3" s="5" t="n">
        <v>6</v>
      </c>
      <c r="E3" s="5" t="n">
        <v>288.67</v>
      </c>
      <c r="F3" s="5" t="n">
        <v>24</v>
      </c>
      <c r="G3" s="5" t="n">
        <v>8</v>
      </c>
      <c r="H3" s="5" t="inlineStr">
        <is>
          <t>6 / 8</t>
        </is>
      </c>
    </row>
    <row r="4">
      <c r="A4" s="5" t="inlineStr">
        <is>
          <t>右侧</t>
        </is>
      </c>
      <c r="B4" s="5" t="n">
        <v>361</v>
      </c>
      <c r="C4" s="5" t="n">
        <v>8459.93</v>
      </c>
      <c r="D4" s="5" t="n">
        <v>36</v>
      </c>
      <c r="E4" s="5" t="n">
        <v>235</v>
      </c>
      <c r="F4" s="5" t="n">
        <v>106</v>
      </c>
      <c r="G4" s="5" t="n">
        <v>43</v>
      </c>
      <c r="H4" s="5" t="inlineStr">
        <is>
          <t>35 / 28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2026-05-24T14:16:10Z</dcterms:created>
  <dcterms:modified xsi:type="dcterms:W3CDTF">2026-05-24T14:16:11Z</dcterms:modified>
</cp:coreProperties>
</file>
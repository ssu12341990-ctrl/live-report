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Q原始数据录入" sheetId="1" state="visible" r:id="rId1"/>
    <sheet name="汇总统计表" sheetId="2" state="visible" r:id="rId2"/>
    <sheet name="示例-2024052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0.0"/>
    <numFmt numFmtId="166" formatCode="YYYY/M/D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7B3F00"/>
      <sz val="10"/>
    </font>
    <font>
      <b val="1"/>
      <color rgb="00FFFFFF"/>
      <sz val="11"/>
    </font>
    <font>
      <color rgb="001F2D3D"/>
      <sz val="10"/>
    </font>
    <font>
      <color rgb="00375623"/>
      <sz val="10"/>
    </font>
    <font>
      <b val="1"/>
      <color rgb="007B3F00"/>
      <sz val="9"/>
    </font>
    <font>
      <b val="1"/>
      <color rgb="001A5276"/>
      <sz val="9"/>
    </font>
    <font>
      <i val="1"/>
      <color rgb="00666666"/>
      <sz val="9"/>
    </font>
    <font>
      <b val="1"/>
      <color rgb="00375623"/>
      <sz val="10"/>
    </font>
    <font>
      <b val="1"/>
      <sz val="10"/>
    </font>
    <font>
      <color rgb="00444444"/>
      <sz val="10"/>
    </font>
  </fonts>
  <fills count="13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FF2CC"/>
      </patternFill>
    </fill>
    <fill>
      <patternFill patternType="solid">
        <fgColor rgb="002F4F8F"/>
      </patternFill>
    </fill>
    <fill>
      <patternFill patternType="solid">
        <fgColor rgb="00FFFDE7"/>
      </patternFill>
    </fill>
    <fill>
      <patternFill patternType="solid">
        <fgColor rgb="00E2EFDA"/>
      </patternFill>
    </fill>
    <fill>
      <patternFill patternType="solid">
        <fgColor rgb="00E67E22"/>
      </patternFill>
    </fill>
    <fill>
      <patternFill patternType="solid">
        <fgColor rgb="002471A3"/>
      </patternFill>
    </fill>
    <fill>
      <patternFill patternType="solid">
        <fgColor rgb="00FAD7A0"/>
      </patternFill>
    </fill>
    <fill>
      <patternFill patternType="solid">
        <fgColor rgb="00AED6F1"/>
      </patternFill>
    </fill>
    <fill>
      <patternFill patternType="solid">
        <fgColor rgb="00F2F2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ADQ 投放数据录入表</t>
        </is>
      </c>
    </row>
    <row r="2" ht="20" customHeight="1">
      <c r="A2" s="2" t="inlineStr">
        <is>
          <t>说明：每次直播后将ADQ截图数据填入黄色单元格，绿色单元格自动计算</t>
        </is>
      </c>
    </row>
    <row r="3" ht="22" customHeight="1">
      <c r="A3" s="3" t="inlineStr">
        <is>
          <t>基本信息</t>
        </is>
      </c>
    </row>
    <row r="4" ht="28" customHeight="1">
      <c r="A4" s="4" t="inlineStr">
        <is>
          <t>日期</t>
        </is>
      </c>
      <c r="B4" s="4" t="inlineStr">
        <is>
          <t>主播</t>
        </is>
      </c>
      <c r="C4" s="4" t="inlineStr">
        <is>
          <t>开播时间</t>
        </is>
      </c>
      <c r="D4" s="4" t="inlineStr">
        <is>
          <t>结束时间</t>
        </is>
      </c>
      <c r="E4" s="4" t="inlineStr">
        <is>
          <t>直播时长(h)</t>
        </is>
      </c>
    </row>
    <row r="5" ht="24" customHeight="1">
      <c r="A5" s="5" t="n"/>
      <c r="B5" s="5" t="n"/>
      <c r="C5" s="6" t="n"/>
      <c r="D5" s="6" t="n"/>
      <c r="E5" s="7">
        <f>(D5-C5)*24</f>
        <v/>
      </c>
    </row>
    <row r="7" ht="28" customHeight="1">
      <c r="A7" s="8" t="inlineStr">
        <is>
          <t>投放组 1（ADQ左侧截图）</t>
        </is>
      </c>
      <c r="I7" s="9" t="inlineStr">
        <is>
          <t>投放组 2（ADQ右侧截图）</t>
        </is>
      </c>
    </row>
    <row r="8" ht="32" customHeight="1">
      <c r="A8" s="10" t="inlineStr">
        <is>
          <t>观看人数</t>
        </is>
      </c>
      <c r="B8" s="10" t="inlineStr">
        <is>
          <t>花费(元)</t>
        </is>
      </c>
      <c r="C8" s="10" t="inlineStr">
        <is>
          <t>成交量</t>
        </is>
      </c>
      <c r="D8" s="10" t="inlineStr">
        <is>
          <t>转化目标成本(元)</t>
        </is>
      </c>
      <c r="E8" s="10" t="inlineStr">
        <is>
          <t>商品点击</t>
        </is>
      </c>
      <c r="F8" s="10" t="inlineStr">
        <is>
          <t>提交订单</t>
        </is>
      </c>
      <c r="G8" s="10" t="inlineStr">
        <is>
          <t>支付成功</t>
        </is>
      </c>
      <c r="H8" s="10" t="inlineStr">
        <is>
          <t>互动人数</t>
        </is>
      </c>
      <c r="I8" s="11" t="inlineStr">
        <is>
          <t>观看人数</t>
        </is>
      </c>
      <c r="J8" s="11" t="inlineStr">
        <is>
          <t>花费(元)</t>
        </is>
      </c>
      <c r="K8" s="11" t="inlineStr">
        <is>
          <t>成交量</t>
        </is>
      </c>
      <c r="L8" s="11" t="inlineStr">
        <is>
          <t>转化目标成本(元)</t>
        </is>
      </c>
      <c r="M8" s="11" t="inlineStr">
        <is>
          <t>商品点击</t>
        </is>
      </c>
      <c r="N8" s="11" t="inlineStr">
        <is>
          <t>提交订单</t>
        </is>
      </c>
      <c r="O8" s="11" t="inlineStr">
        <is>
          <t>支付成功</t>
        </is>
      </c>
      <c r="P8" s="11" t="inlineStr">
        <is>
          <t>互动人数</t>
        </is>
      </c>
    </row>
    <row r="9" ht="24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 ht="18" customHeight="1">
      <c r="A10" s="12" t="inlineStr">
        <is>
          <t>互动人数 = 评论人数 + 喝彩人数（填ADQ截图互动数据合计）</t>
        </is>
      </c>
    </row>
  </sheetData>
  <mergeCells count="6">
    <mergeCell ref="A10:P10"/>
    <mergeCell ref="A7:H7"/>
    <mergeCell ref="A1:P1"/>
    <mergeCell ref="I7:P7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36" customHeight="1">
      <c r="A1" s="1" t="inlineStr">
        <is>
          <t>直播 ADQ 投放汇总统计表</t>
        </is>
      </c>
    </row>
    <row r="2" ht="20" customHeight="1">
      <c r="A2" s="13" t="inlineStr">
        <is>
          <t>绿色单元格为自动汇总计算结果，数据来源于【ADQ原始数据录入】，无需手动填写</t>
        </is>
      </c>
    </row>
    <row r="3" ht="36" customHeight="1">
      <c r="A3" s="4" t="inlineStr">
        <is>
          <t>日期</t>
        </is>
      </c>
      <c r="B3" s="4" t="inlineStr">
        <is>
          <t>主播</t>
        </is>
      </c>
      <c r="C3" s="4" t="inlineStr">
        <is>
          <t>时间</t>
        </is>
      </c>
      <c r="D3" s="4" t="inlineStr">
        <is>
          <t>直播时长(h)</t>
        </is>
      </c>
      <c r="E3" s="4" t="inlineStr">
        <is>
          <t>消耗(元)</t>
        </is>
      </c>
      <c r="F3" s="4" t="inlineStr">
        <is>
          <t>成交量</t>
        </is>
      </c>
      <c r="G3" s="4" t="inlineStr">
        <is>
          <t>成本(元/单)</t>
        </is>
      </c>
      <c r="H3" s="4" t="inlineStr">
        <is>
          <t>场观(人)</t>
        </is>
      </c>
      <c r="I3" s="4" t="inlineStr">
        <is>
          <t>观看成本(元)</t>
        </is>
      </c>
      <c r="J3" s="4" t="inlineStr">
        <is>
          <t>商品点击</t>
        </is>
      </c>
      <c r="K3" s="4" t="inlineStr">
        <is>
          <t>商品点击率</t>
        </is>
      </c>
      <c r="L3" s="4" t="inlineStr">
        <is>
          <t>提交订单</t>
        </is>
      </c>
      <c r="M3" s="4" t="inlineStr">
        <is>
          <t>支付成功</t>
        </is>
      </c>
      <c r="N3" s="4" t="inlineStr">
        <is>
          <t>未支付</t>
        </is>
      </c>
      <c r="O3" s="4" t="inlineStr">
        <is>
          <t>互动人数</t>
        </is>
      </c>
      <c r="P3" s="4" t="inlineStr">
        <is>
          <t>转化率</t>
        </is>
      </c>
      <c r="Q3" s="4" t="inlineStr">
        <is>
          <t>互动转化率</t>
        </is>
      </c>
    </row>
    <row r="4" ht="24" customHeight="1">
      <c r="A4" s="5">
        <f>'ADQ原始数据录入'!A5</f>
        <v/>
      </c>
      <c r="B4" s="5">
        <f>'ADQ原始数据录入'!B5</f>
        <v/>
      </c>
      <c r="C4" s="5">
        <f>TEXT('ADQ原始数据录入'!C5,"HH:MM")&amp;"-"&amp;TEXT('ADQ原始数据录入'!D5,"HH:MM")</f>
        <v/>
      </c>
      <c r="D4" s="14">
        <f>'ADQ原始数据录入'!E5</f>
        <v/>
      </c>
      <c r="E4" s="15">
        <f>'ADQ原始数据录入'!B9+'ADQ原始数据录入'!J9</f>
        <v/>
      </c>
      <c r="F4" s="16">
        <f>'ADQ原始数据录入'!C9+'ADQ原始数据录入'!K9</f>
        <v/>
      </c>
      <c r="G4" s="15">
        <f>IFERROR(E4/F4,"")</f>
        <v/>
      </c>
      <c r="H4" s="16">
        <f>'ADQ原始数据录入'!A9+'ADQ原始数据录入'!I9</f>
        <v/>
      </c>
      <c r="I4" s="15">
        <f>IFERROR(E4/H4,"")</f>
        <v/>
      </c>
      <c r="J4" s="16">
        <f>'ADQ原始数据录入'!E9+'ADQ原始数据录入'!M9</f>
        <v/>
      </c>
      <c r="K4" s="17">
        <f>IFERROR(J4/H4,"")</f>
        <v/>
      </c>
      <c r="L4" s="16">
        <f>'ADQ原始数据录入'!F9+'ADQ原始数据录入'!N9</f>
        <v/>
      </c>
      <c r="M4" s="16">
        <f>'ADQ原始数据录入'!G9+'ADQ原始数据录入'!O9</f>
        <v/>
      </c>
      <c r="N4" s="18">
        <f>IFERROR(L4-M4,"")</f>
        <v/>
      </c>
      <c r="O4" s="16">
        <f>'ADQ原始数据录入'!H9+'ADQ原始数据录入'!P9</f>
        <v/>
      </c>
      <c r="P4" s="17">
        <f>IFERROR(F4/H4,"")</f>
        <v/>
      </c>
      <c r="Q4" s="17">
        <f>IFERROR(F4/O4,"")</f>
        <v/>
      </c>
    </row>
    <row r="6" ht="22" customHeight="1">
      <c r="A6" s="3" t="inlineStr">
        <is>
          <t>字段说明</t>
        </is>
      </c>
    </row>
    <row r="7" ht="20" customHeight="1">
      <c r="A7" s="19" t="inlineStr">
        <is>
          <t>消耗(元)</t>
        </is>
      </c>
      <c r="E7" s="20" t="inlineStr">
        <is>
          <t>组1花费 + 组2花费</t>
        </is>
      </c>
    </row>
    <row r="8" ht="20" customHeight="1">
      <c r="A8" s="19" t="inlineStr">
        <is>
          <t>成交量</t>
        </is>
      </c>
      <c r="E8" s="20" t="inlineStr">
        <is>
          <t>组1成交量 + 组2成交量</t>
        </is>
      </c>
    </row>
    <row r="9" ht="20" customHeight="1">
      <c r="A9" s="21" t="inlineStr">
        <is>
          <t>成本(元/单)</t>
        </is>
      </c>
      <c r="E9" s="22" t="inlineStr">
        <is>
          <t>消耗 / 成交量，每单获客成本</t>
        </is>
      </c>
    </row>
    <row r="10" ht="20" customHeight="1">
      <c r="A10" s="19" t="inlineStr">
        <is>
          <t>场观(人)</t>
        </is>
      </c>
      <c r="E10" s="20" t="inlineStr">
        <is>
          <t>组1观看人数 + 组2观看人数</t>
        </is>
      </c>
    </row>
    <row r="11" ht="20" customHeight="1">
      <c r="A11" s="21" t="inlineStr">
        <is>
          <t>观看成本</t>
        </is>
      </c>
      <c r="E11" s="22" t="inlineStr">
        <is>
          <t>消耗 / 场观人数</t>
        </is>
      </c>
    </row>
    <row r="12" ht="20" customHeight="1">
      <c r="A12" s="21" t="inlineStr">
        <is>
          <t>商品点击率</t>
        </is>
      </c>
      <c r="E12" s="22" t="inlineStr">
        <is>
          <t>商品点击 / 场观人数</t>
        </is>
      </c>
    </row>
    <row r="13" ht="20" customHeight="1">
      <c r="A13" s="23" t="inlineStr">
        <is>
          <t>未支付</t>
        </is>
      </c>
      <c r="E13" s="24" t="inlineStr">
        <is>
          <t>提交订单 - 支付成功</t>
        </is>
      </c>
    </row>
    <row r="14" ht="20" customHeight="1">
      <c r="A14" s="25" t="inlineStr">
        <is>
          <t>转化率</t>
        </is>
      </c>
      <c r="E14" s="26" t="inlineStr">
        <is>
          <t>成交量 / 场观人数，反映整体转化效率</t>
        </is>
      </c>
    </row>
    <row r="15" ht="20" customHeight="1">
      <c r="A15" s="25" t="inlineStr">
        <is>
          <t>互动转化率</t>
        </is>
      </c>
      <c r="E15" s="26" t="inlineStr">
        <is>
          <t>成交量 / 互动人数，反映互动后成交效率</t>
        </is>
      </c>
    </row>
  </sheetData>
  <mergeCells count="21">
    <mergeCell ref="A8:D8"/>
    <mergeCell ref="A10:D10"/>
    <mergeCell ref="E7:Q7"/>
    <mergeCell ref="A1:Q1"/>
    <mergeCell ref="A13:D13"/>
    <mergeCell ref="A6:Q6"/>
    <mergeCell ref="A9:D9"/>
    <mergeCell ref="E12:Q12"/>
    <mergeCell ref="A15:D15"/>
    <mergeCell ref="A11:D11"/>
    <mergeCell ref="E14:Q14"/>
    <mergeCell ref="E8:Q8"/>
    <mergeCell ref="A2:Q2"/>
    <mergeCell ref="A7:D7"/>
    <mergeCell ref="E10:Q10"/>
    <mergeCell ref="E13:Q13"/>
    <mergeCell ref="E9:Q9"/>
    <mergeCell ref="A12:D12"/>
    <mergeCell ref="E11:Q11"/>
    <mergeCell ref="E15:Q15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3" customWidth="1" min="5" max="5"/>
    <col width="10" customWidth="1" min="6" max="6"/>
    <col width="13" customWidth="1" min="7" max="7"/>
    <col width="10" customWidth="1" min="8" max="8"/>
    <col width="13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30" customHeight="1">
      <c r="A1" s="8" t="inlineStr">
        <is>
          <t>示例：2024/5/21 王雨琪 8:00-10:30（根据ADQ截图真实数据）</t>
        </is>
      </c>
    </row>
    <row r="2" ht="36" customHeight="1">
      <c r="A2" s="4" t="inlineStr">
        <is>
          <t>日期</t>
        </is>
      </c>
      <c r="B2" s="4" t="inlineStr">
        <is>
          <t>主播</t>
        </is>
      </c>
      <c r="C2" s="4" t="inlineStr">
        <is>
          <t>时间</t>
        </is>
      </c>
      <c r="D2" s="4" t="inlineStr">
        <is>
          <t>直播时长(h)</t>
        </is>
      </c>
      <c r="E2" s="4" t="inlineStr">
        <is>
          <t>消耗(元)</t>
        </is>
      </c>
      <c r="F2" s="4" t="inlineStr">
        <is>
          <t>成交量</t>
        </is>
      </c>
      <c r="G2" s="4" t="inlineStr">
        <is>
          <t>成本(元/单)</t>
        </is>
      </c>
      <c r="H2" s="4" t="inlineStr">
        <is>
          <t>场观(人)</t>
        </is>
      </c>
      <c r="I2" s="4" t="inlineStr">
        <is>
          <t>观看成本(元)</t>
        </is>
      </c>
      <c r="J2" s="4" t="inlineStr">
        <is>
          <t>商品点击</t>
        </is>
      </c>
      <c r="K2" s="4" t="inlineStr">
        <is>
          <t>商品点击率</t>
        </is>
      </c>
      <c r="L2" s="4" t="inlineStr">
        <is>
          <t>提交订单</t>
        </is>
      </c>
      <c r="M2" s="4" t="inlineStr">
        <is>
          <t>支付成功</t>
        </is>
      </c>
      <c r="N2" s="4" t="inlineStr">
        <is>
          <t>未支付</t>
        </is>
      </c>
      <c r="O2" s="4" t="inlineStr">
        <is>
          <t>互动人数</t>
        </is>
      </c>
      <c r="P2" s="4" t="inlineStr">
        <is>
          <t>转化率</t>
        </is>
      </c>
      <c r="Q2" s="4" t="inlineStr">
        <is>
          <t>互动转化率</t>
        </is>
      </c>
    </row>
    <row r="3" ht="24" customHeight="1">
      <c r="A3" s="27" t="inlineStr">
        <is>
          <t>2024/5/21</t>
        </is>
      </c>
      <c r="B3" s="5" t="inlineStr">
        <is>
          <t>王雨琪</t>
        </is>
      </c>
      <c r="C3" s="5" t="inlineStr">
        <is>
          <t>8:00-10:30</t>
        </is>
      </c>
      <c r="D3" s="14" t="n">
        <v>2.5</v>
      </c>
      <c r="E3" s="15" t="n">
        <v>10191.95</v>
      </c>
      <c r="F3" s="16" t="n">
        <v>42</v>
      </c>
      <c r="G3" s="15" t="n">
        <v>242.67</v>
      </c>
      <c r="H3" s="16" t="n">
        <v>452</v>
      </c>
      <c r="I3" s="15" t="n">
        <v>22.55</v>
      </c>
      <c r="J3" s="16" t="n">
        <v>130</v>
      </c>
      <c r="K3" s="17" t="n">
        <v>0.2876106194690266</v>
      </c>
      <c r="L3" s="16" t="n">
        <v>51</v>
      </c>
      <c r="M3" s="16" t="n">
        <v>41</v>
      </c>
      <c r="N3" s="18" t="n">
        <v>10</v>
      </c>
      <c r="O3" s="16" t="n">
        <v>36</v>
      </c>
      <c r="P3" s="17" t="n">
        <v>0.09292035398230089</v>
      </c>
      <c r="Q3" s="17" t="n">
        <v>1.166666666666667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2026-05-24T14:16:10Z</dcterms:created>
  <dcterms:modified xsi:type="dcterms:W3CDTF">2026-05-24T14:16:10Z</dcterms:modified>
</cp:coreProperties>
</file>